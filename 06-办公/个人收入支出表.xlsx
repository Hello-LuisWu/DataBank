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1920"/>
  </bookViews>
  <sheets>
    <sheet name="收入支出表" sheetId="1" r:id="rId1"/>
    <sheet name="仪表盘" sheetId="2" r:id="rId2"/>
  </sheets>
  <definedNames>
    <definedName name="_xlnm._FilterDatabase" localSheetId="0" hidden="1">收入支出表!$A$1:$I$16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<sst xmlns="http://schemas.openxmlformats.org/spreadsheetml/2006/main" count="73" uniqueCount="26">
  <si>
    <t>日期</t>
  </si>
  <si>
    <t>年份</t>
  </si>
  <si>
    <t>月份</t>
  </si>
  <si>
    <t>天</t>
  </si>
  <si>
    <t>类型</t>
  </si>
  <si>
    <t>分类</t>
  </si>
  <si>
    <t>金额</t>
  </si>
  <si>
    <t>支付方式</t>
  </si>
  <si>
    <t>备注</t>
  </si>
  <si>
    <t>收入</t>
  </si>
  <si>
    <t>兼职</t>
  </si>
  <si>
    <t>支付宝</t>
  </si>
  <si>
    <t>闲鱼收入</t>
  </si>
  <si>
    <t>支出</t>
  </si>
  <si>
    <t>其他支出</t>
  </si>
  <si>
    <t>闲鱼超级擦亮</t>
  </si>
  <si>
    <t>餐饮</t>
  </si>
  <si>
    <t>微信</t>
  </si>
  <si>
    <t>午饭</t>
  </si>
  <si>
    <t>其他收入</t>
  </si>
  <si>
    <t>银行卡</t>
  </si>
  <si>
    <t>银行卡余额</t>
  </si>
  <si>
    <t>自动汇总</t>
  </si>
  <si>
    <t>月总收入</t>
  </si>
  <si>
    <t>月总支出</t>
  </si>
  <si>
    <t>月结余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</si>
</sst>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yyyy\-mm\-dd;@"/>
  </numFmts>
  <fonts count="23">
    <font>
      <sz val="11"/>
      <color theme="1"/>
      <name val="宋体"/>
      <charset val="134"/>
      <scheme val="minor"/>
    </font>
    <font>
      <b/>
      <sz val="16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49" fontId="0" fillId="0" borderId="0" xfId="0" applyNumberFormat="1"/>
    <xf numFmtId="176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8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t>收入 vs 支出</a:t>
            </a:r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ln>
              <a:noFill/>
              <a:prstDash val="solid"/>
            </a:ln>
          </c:spPr>
          <c:invertIfNegative val="0"/>
          <c:dLbls>
            <c:delete val="1"/>
          </c:dLbls>
          <c:cat>
            <c:strRef>
              <c:f>仪表盘!$A$2:$A$3</c:f>
              <c:strCache>
                <c:ptCount val="2"/>
                <c:pt idx="0">
                  <c:v>月总收入</c:v>
                </c:pt>
                <c:pt idx="1">
                  <c:v>月总支出</c:v>
                </c:pt>
              </c:strCache>
            </c:strRef>
          </c:cat>
          <c:val>
            <c:numRef>
              <c:f>仪表盘!$B$2:$B$3</c:f>
              <c:numCache>
                <c:formatCode>General</c:formatCode>
                <c:ptCount val="2"/>
                <c:pt idx="0">
                  <c:v>2330.57</c:v>
                </c:pt>
                <c:pt idx="1">
                  <c:v>50.5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</a:p>
        </c:txPr>
        <c:crossAx val="10"/>
        <c:crosses val="autoZero"/>
        <c:crossBetween val="between"/>
      </c:valAx>
    </c:plotArea>
    <c:legend>
      <c:legendPos val="r"/>
      <c:layout/>
      <c:overlay val="0"/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4ca4fe8-9832-4dd8-9fb8-ecd69b964ca8}"/>
      </c:ext>
    </c:extLst>
  </c:chart>
  <c:spPr>
    <a:solidFill>
      <a:schemeClr val="bg1"/>
    </a:solidFill>
    <a:ln w="9525" cap="flat" cmpd="sng" algn="ctr">
      <a:solidFill>
        <a:schemeClr val="tx1">
          <a:tint val="75000"/>
          <a:shade val="95000"/>
          <a:satMod val="105000"/>
        </a:schemeClr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>收入支出占比</a:t>
            </a: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gradFill>
                <a:gsLst>
                  <a:gs pos="0">
                    <a:schemeClr val="accent1">
                      <a:lumMod val="40000"/>
                      <a:lumOff val="60000"/>
                    </a:schemeClr>
                  </a:gs>
                  <a:gs pos="90000">
                    <a:schemeClr val="accent1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1"/>
                    </a:gs>
                    <a:gs pos="100000">
                      <a:schemeClr val="accent1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Pt>
            <c:idx val="1"/>
            <c:bubble3D val="0"/>
            <c:spPr>
              <a:gradFill>
                <a:gsLst>
                  <a:gs pos="0">
                    <a:schemeClr val="accent2">
                      <a:lumMod val="40000"/>
                      <a:lumOff val="60000"/>
                    </a:schemeClr>
                  </a:gs>
                  <a:gs pos="90000">
                    <a:schemeClr val="accent2"/>
                  </a:gs>
                </a:gsLst>
                <a:lin ang="5400000" scaled="0"/>
              </a:gradFill>
              <a:ln>
                <a:gradFill>
                  <a:gsLst>
                    <a:gs pos="0">
                      <a:schemeClr val="accent2"/>
                    </a:gs>
                    <a:gs pos="100000">
                      <a:schemeClr val="accent2">
                        <a:lumMod val="75000"/>
                      </a:schemeClr>
                    </a:gs>
                  </a:gsLst>
                  <a:lin ang="5400000" scaled="1"/>
                </a:gra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仪表盘!$A$2:$A$3</c:f>
              <c:strCache>
                <c:ptCount val="2"/>
                <c:pt idx="0">
                  <c:v>月总收入</c:v>
                </c:pt>
                <c:pt idx="1">
                  <c:v>月总支出</c:v>
                </c:pt>
              </c:strCache>
            </c:strRef>
          </c:cat>
          <c:val>
            <c:numRef>
              <c:f>仪表盘!$B$2:$B$3</c:f>
              <c:numCache>
                <c:formatCode>General</c:formatCode>
                <c:ptCount val="2"/>
                <c:pt idx="0">
                  <c:v>2330.57</c:v>
                </c:pt>
                <c:pt idx="1">
                  <c:v>50.5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1ae82c9-9e69-4b18-8bd8-d3893e959a01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仪表盘!$A$2:$A$3</c:f>
              <c:strCache>
                <c:ptCount val="2"/>
                <c:pt idx="0">
                  <c:v>月总收入</c:v>
                </c:pt>
                <c:pt idx="1">
                  <c:v>月总支出</c:v>
                </c:pt>
              </c:strCache>
            </c:strRef>
          </c:cat>
          <c:val>
            <c:numRef>
              <c:f>仪表盘!$B$2:$B$3</c:f>
              <c:numCache>
                <c:formatCode>General</c:formatCode>
                <c:ptCount val="2"/>
                <c:pt idx="0">
                  <c:v>2330.57</c:v>
                </c:pt>
                <c:pt idx="1">
                  <c:v>50.5</c:v>
                </c:pt>
              </c:numCache>
            </c:numRef>
          </c:val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52ee2c8-c8f5-4200-bf5c-7aaef1d24e43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1400" b="1" i="0" u="none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elete val="1"/>
          </c:dLbls>
          <c:cat>
            <c:strRef>
              <c:f>仪表盘!$A$2:$A$3</c:f>
              <c:strCache>
                <c:ptCount val="2"/>
                <c:pt idx="0">
                  <c:v>月总收入</c:v>
                </c:pt>
                <c:pt idx="1">
                  <c:v>月总支出</c:v>
                </c:pt>
              </c:strCache>
            </c:strRef>
          </c:cat>
          <c:val>
            <c:numRef>
              <c:f>仪表盘!$B$2:$B$3</c:f>
              <c:numCache>
                <c:formatCode>General</c:formatCode>
                <c:ptCount val="2"/>
                <c:pt idx="0">
                  <c:v>2330.57</c:v>
                </c:pt>
                <c:pt idx="1">
                  <c:v>50.5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46"/>
        <c:overlap val="-28"/>
        <c:axId val="499492837"/>
        <c:axId val="930474409"/>
      </c:barChart>
      <c:catAx>
        <c:axId val="49949283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30474409"/>
        <c:crosses val="autoZero"/>
        <c:auto val="1"/>
        <c:lblAlgn val="ctr"/>
        <c:lblOffset val="100"/>
        <c:noMultiLvlLbl val="0"/>
      </c:catAx>
      <c:valAx>
        <c:axId val="93047440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9949283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5b215869-c49a-4ced-84f5-7c7fb98e545b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acrossLinear" id="2">
  <a:schemeClr val="accent1"/>
  <a:schemeClr val="accent2"/>
  <a:schemeClr val="accent3"/>
  <a:schemeClr val="accent4"/>
  <a:schemeClr val="accent5"/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>
              <a:lumMod val="40000"/>
              <a:lumOff val="60000"/>
            </a:schemeClr>
          </a:gs>
          <a:gs pos="90000">
            <a:schemeClr val="phClr"/>
          </a:gs>
        </a:gsLst>
        <a:lin ang="5400000" scaled="0"/>
      </a:gradFill>
      <a:ln>
        <a:gradFill>
          <a:gsLst>
            <a:gs pos="0">
              <a:schemeClr val="phClr"/>
            </a:gs>
            <a:gs pos="100000">
              <a:schemeClr val="phClr">
                <a:lumMod val="75000"/>
              </a:schemeClr>
            </a:gs>
          </a:gsLst>
          <a:lin ang="5400000" scaled="1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0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noFill/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17</xdr:col>
      <xdr:colOff>114300</xdr:colOff>
      <xdr:row>3</xdr:row>
      <xdr:rowOff>191770</xdr:rowOff>
    </xdr:from>
    <xdr:ext cx="5400000" cy="3020040"/>
    <xdr:graphicFrame>
      <xdr:nvGraphicFramePr>
        <xdr:cNvPr id="2" name="Chart 1"/>
        <xdr:cNvGraphicFramePr/>
      </xdr:nvGraphicFramePr>
      <xdr:xfrm>
        <a:off x="13764895" y="872490"/>
        <a:ext cx="5399405" cy="3019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17</xdr:col>
      <xdr:colOff>93345</xdr:colOff>
      <xdr:row>17</xdr:row>
      <xdr:rowOff>58420</xdr:rowOff>
    </xdr:from>
    <xdr:ext cx="5399405" cy="3019425"/>
    <xdr:graphicFrame>
      <xdr:nvGraphicFramePr>
        <xdr:cNvPr id="3" name="Chart 2"/>
        <xdr:cNvGraphicFramePr/>
      </xdr:nvGraphicFramePr>
      <xdr:xfrm>
        <a:off x="13743940" y="3703320"/>
        <a:ext cx="5399405" cy="30194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3</xdr:col>
      <xdr:colOff>45085</xdr:colOff>
      <xdr:row>13</xdr:row>
      <xdr:rowOff>30480</xdr:rowOff>
    </xdr:from>
    <xdr:to>
      <xdr:col>10</xdr:col>
      <xdr:colOff>603885</xdr:colOff>
      <xdr:row>26</xdr:row>
      <xdr:rowOff>142240</xdr:rowOff>
    </xdr:to>
    <xdr:graphicFrame>
      <xdr:nvGraphicFramePr>
        <xdr:cNvPr id="2" name="图表 1"/>
        <xdr:cNvGraphicFramePr/>
      </xdr:nvGraphicFramePr>
      <xdr:xfrm>
        <a:off x="3119755" y="2885440"/>
        <a:ext cx="482600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45085</xdr:colOff>
      <xdr:row>0</xdr:row>
      <xdr:rowOff>635</xdr:rowOff>
    </xdr:from>
    <xdr:to>
      <xdr:col>10</xdr:col>
      <xdr:colOff>603885</xdr:colOff>
      <xdr:row>13</xdr:row>
      <xdr:rowOff>31115</xdr:rowOff>
    </xdr:to>
    <xdr:graphicFrame>
      <xdr:nvGraphicFramePr>
        <xdr:cNvPr id="3" name="图表 2"/>
        <xdr:cNvGraphicFramePr/>
      </xdr:nvGraphicFramePr>
      <xdr:xfrm>
        <a:off x="3119755" y="635"/>
        <a:ext cx="4826000" cy="2885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tabSelected="1" workbookViewId="0">
      <selection activeCell="C47" sqref="C47"/>
    </sheetView>
  </sheetViews>
  <sheetFormatPr defaultColWidth="9" defaultRowHeight="16.8"/>
  <cols>
    <col min="1" max="1" width="17.4615384615385" style="6" customWidth="1"/>
    <col min="2" max="3" width="17.4615384615385" style="4" customWidth="1"/>
    <col min="4" max="5" width="11.2115384615385" style="4" customWidth="1"/>
    <col min="6" max="6" width="15" style="4" customWidth="1"/>
    <col min="7" max="7" width="10" style="4" customWidth="1"/>
    <col min="8" max="8" width="14.8942307692308" style="4" customWidth="1"/>
    <col min="9" max="9" width="20" style="4" customWidth="1"/>
  </cols>
  <sheetData>
    <row r="1" s="5" customFormat="1" ht="20" customHeight="1" spans="1:9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</row>
    <row r="2" customFormat="1" spans="1:9">
      <c r="A2" s="8">
        <v>45996</v>
      </c>
      <c r="B2" s="9">
        <f>IF(A2&lt;&gt;"",YEAR(A2),"")</f>
        <v>2025</v>
      </c>
      <c r="C2" s="10" t="str">
        <f>IF(A2&lt;&gt;"",TEXT(A2,"mm月"),"")</f>
        <v>12月</v>
      </c>
      <c r="D2" s="10" t="str">
        <f>IF(A2&lt;&gt;"",TEXT(A2,"dd日"),"")</f>
        <v>05日</v>
      </c>
      <c r="E2" s="11" t="s">
        <v>9</v>
      </c>
      <c r="F2" s="11" t="s">
        <v>10</v>
      </c>
      <c r="G2" s="11">
        <v>4.89</v>
      </c>
      <c r="H2" s="11" t="s">
        <v>11</v>
      </c>
      <c r="I2" s="11" t="s">
        <v>12</v>
      </c>
    </row>
    <row r="3" customFormat="1" spans="1:9">
      <c r="A3" s="8">
        <v>45996</v>
      </c>
      <c r="B3" s="9">
        <f>IF(A3&lt;&gt;"",YEAR(A3),"")</f>
        <v>2025</v>
      </c>
      <c r="C3" s="10" t="str">
        <f>IF(A3&lt;&gt;"",TEXT(A3,"mm月"),"")</f>
        <v>12月</v>
      </c>
      <c r="D3" s="10" t="str">
        <f>IF(A3&lt;&gt;"",TEXT(A3,"dd日"),"")</f>
        <v>05日</v>
      </c>
      <c r="E3" s="11" t="s">
        <v>9</v>
      </c>
      <c r="F3" s="11" t="s">
        <v>10</v>
      </c>
      <c r="G3" s="11">
        <v>19.96</v>
      </c>
      <c r="H3" s="11" t="s">
        <v>11</v>
      </c>
      <c r="I3" s="11" t="s">
        <v>12</v>
      </c>
    </row>
    <row r="4" customFormat="1" spans="1:9">
      <c r="A4" s="8">
        <v>45996</v>
      </c>
      <c r="B4" s="9">
        <f>IF(A4&lt;&gt;"",YEAR(A4),"")</f>
        <v>2025</v>
      </c>
      <c r="C4" s="10" t="str">
        <f>IF(A4&lt;&gt;"",TEXT(A4,"mm月"),"")</f>
        <v>12月</v>
      </c>
      <c r="D4" s="10" t="str">
        <f>IF(A4&lt;&gt;"",TEXT(A4,"dd日"),"")</f>
        <v>05日</v>
      </c>
      <c r="E4" s="11" t="s">
        <v>13</v>
      </c>
      <c r="F4" s="11" t="s">
        <v>14</v>
      </c>
      <c r="G4" s="11">
        <v>30</v>
      </c>
      <c r="H4" s="11" t="s">
        <v>11</v>
      </c>
      <c r="I4" s="11" t="s">
        <v>15</v>
      </c>
    </row>
    <row r="5" customFormat="1" spans="1:9">
      <c r="A5" s="8">
        <v>45996</v>
      </c>
      <c r="B5" s="9">
        <f>IF(A5&lt;&gt;"",YEAR(A5),"")</f>
        <v>2025</v>
      </c>
      <c r="C5" s="10" t="str">
        <f>IF(A5&lt;&gt;"",TEXT(A5,"mm月"),"")</f>
        <v>12月</v>
      </c>
      <c r="D5" s="10" t="str">
        <f>IF(A5&lt;&gt;"",TEXT(A5,"dd日"),"")</f>
        <v>05日</v>
      </c>
      <c r="E5" s="11" t="s">
        <v>13</v>
      </c>
      <c r="F5" s="11" t="s">
        <v>16</v>
      </c>
      <c r="G5" s="11">
        <v>9.5</v>
      </c>
      <c r="H5" s="11" t="s">
        <v>17</v>
      </c>
      <c r="I5" s="11" t="s">
        <v>18</v>
      </c>
    </row>
    <row r="6" customFormat="1" spans="1:9">
      <c r="A6" s="8">
        <v>45996</v>
      </c>
      <c r="B6" s="9">
        <f t="shared" ref="B6:B16" si="0">IF(A6&lt;&gt;"",YEAR(A6),"")</f>
        <v>2025</v>
      </c>
      <c r="C6" s="10" t="str">
        <f t="shared" ref="C6:C16" si="1">IF(A6&lt;&gt;"",TEXT(A6,"mm月"),"")</f>
        <v>12月</v>
      </c>
      <c r="D6" s="10" t="str">
        <f t="shared" ref="D6:D16" si="2">IF(A6&lt;&gt;"",TEXT(A6,"dd日"),"")</f>
        <v>05日</v>
      </c>
      <c r="E6" s="11" t="s">
        <v>9</v>
      </c>
      <c r="F6" s="11" t="s">
        <v>19</v>
      </c>
      <c r="G6" s="11">
        <v>1384.95</v>
      </c>
      <c r="H6" s="11" t="s">
        <v>20</v>
      </c>
      <c r="I6" s="11" t="s">
        <v>21</v>
      </c>
    </row>
    <row r="7" customFormat="1" spans="1:9">
      <c r="A7" s="8">
        <v>45996</v>
      </c>
      <c r="B7" s="9">
        <f t="shared" si="0"/>
        <v>2025</v>
      </c>
      <c r="C7" s="10" t="str">
        <f t="shared" si="1"/>
        <v>12月</v>
      </c>
      <c r="D7" s="10" t="str">
        <f t="shared" si="2"/>
        <v>05日</v>
      </c>
      <c r="E7" s="11" t="s">
        <v>9</v>
      </c>
      <c r="F7" s="11" t="s">
        <v>19</v>
      </c>
      <c r="G7" s="11">
        <v>815.06</v>
      </c>
      <c r="H7" s="11" t="s">
        <v>20</v>
      </c>
      <c r="I7" s="11" t="s">
        <v>21</v>
      </c>
    </row>
    <row r="8" customFormat="1" ht="15" customHeight="1" spans="1:9">
      <c r="A8" s="8">
        <v>45996</v>
      </c>
      <c r="B8" s="9">
        <f t="shared" si="0"/>
        <v>2025</v>
      </c>
      <c r="C8" s="10" t="str">
        <f t="shared" si="1"/>
        <v>12月</v>
      </c>
      <c r="D8" s="10" t="str">
        <f t="shared" si="2"/>
        <v>05日</v>
      </c>
      <c r="E8" s="11" t="s">
        <v>9</v>
      </c>
      <c r="F8" s="11" t="s">
        <v>10</v>
      </c>
      <c r="G8" s="11">
        <v>9.98</v>
      </c>
      <c r="H8" s="11" t="s">
        <v>11</v>
      </c>
      <c r="I8" s="11" t="s">
        <v>12</v>
      </c>
    </row>
    <row r="9" customFormat="1" spans="1:9">
      <c r="A9" s="8">
        <v>45996</v>
      </c>
      <c r="B9" s="9">
        <f t="shared" si="0"/>
        <v>2025</v>
      </c>
      <c r="C9" s="10" t="str">
        <f t="shared" si="1"/>
        <v>12月</v>
      </c>
      <c r="D9" s="10" t="str">
        <f t="shared" si="2"/>
        <v>05日</v>
      </c>
      <c r="E9" s="11" t="s">
        <v>9</v>
      </c>
      <c r="F9" s="11" t="s">
        <v>10</v>
      </c>
      <c r="G9" s="11">
        <v>21.96</v>
      </c>
      <c r="H9" s="12" t="s">
        <v>11</v>
      </c>
      <c r="I9" s="12" t="s">
        <v>12</v>
      </c>
    </row>
    <row r="10" customFormat="1" spans="1:9">
      <c r="A10" s="8">
        <v>45996</v>
      </c>
      <c r="B10" s="9">
        <f t="shared" si="0"/>
        <v>2025</v>
      </c>
      <c r="C10" s="10" t="str">
        <f t="shared" si="1"/>
        <v>12月</v>
      </c>
      <c r="D10" s="10" t="str">
        <f t="shared" si="2"/>
        <v>05日</v>
      </c>
      <c r="E10" s="11" t="s">
        <v>9</v>
      </c>
      <c r="F10" s="11" t="s">
        <v>10</v>
      </c>
      <c r="G10" s="11">
        <v>9.98</v>
      </c>
      <c r="H10" s="12" t="s">
        <v>11</v>
      </c>
      <c r="I10" s="12" t="s">
        <v>12</v>
      </c>
    </row>
    <row r="11" customFormat="1" spans="1:9">
      <c r="A11" s="8">
        <v>45996</v>
      </c>
      <c r="B11" s="9">
        <f t="shared" si="0"/>
        <v>2025</v>
      </c>
      <c r="C11" s="10" t="str">
        <f t="shared" si="1"/>
        <v>12月</v>
      </c>
      <c r="D11" s="10" t="str">
        <f t="shared" si="2"/>
        <v>05日</v>
      </c>
      <c r="E11" s="11" t="s">
        <v>9</v>
      </c>
      <c r="F11" s="11" t="s">
        <v>10</v>
      </c>
      <c r="G11" s="11">
        <v>9.98</v>
      </c>
      <c r="H11" s="12" t="s">
        <v>11</v>
      </c>
      <c r="I11" s="12" t="s">
        <v>12</v>
      </c>
    </row>
    <row r="12" customFormat="1" spans="1:9">
      <c r="A12" s="8">
        <v>45996</v>
      </c>
      <c r="B12" s="9">
        <f t="shared" si="0"/>
        <v>2025</v>
      </c>
      <c r="C12" s="10" t="str">
        <f t="shared" si="1"/>
        <v>12月</v>
      </c>
      <c r="D12" s="10" t="str">
        <f t="shared" si="2"/>
        <v>05日</v>
      </c>
      <c r="E12" s="11" t="s">
        <v>9</v>
      </c>
      <c r="F12" s="11" t="s">
        <v>10</v>
      </c>
      <c r="G12" s="11">
        <v>4.98</v>
      </c>
      <c r="H12" s="12" t="s">
        <v>11</v>
      </c>
      <c r="I12" s="12" t="s">
        <v>12</v>
      </c>
    </row>
    <row r="13" customFormat="1" spans="1:9">
      <c r="A13" s="8">
        <v>45996</v>
      </c>
      <c r="B13" s="9">
        <f t="shared" si="0"/>
        <v>2025</v>
      </c>
      <c r="C13" s="10" t="str">
        <f t="shared" si="1"/>
        <v>12月</v>
      </c>
      <c r="D13" s="10" t="str">
        <f t="shared" si="2"/>
        <v>05日</v>
      </c>
      <c r="E13" s="11" t="s">
        <v>9</v>
      </c>
      <c r="F13" s="11" t="s">
        <v>10</v>
      </c>
      <c r="G13" s="11">
        <v>21.96</v>
      </c>
      <c r="H13" s="12" t="s">
        <v>11</v>
      </c>
      <c r="I13" s="12" t="s">
        <v>12</v>
      </c>
    </row>
    <row r="14" spans="1:9">
      <c r="A14" s="8">
        <v>45997</v>
      </c>
      <c r="B14" s="9">
        <f t="shared" si="0"/>
        <v>2025</v>
      </c>
      <c r="C14" s="10" t="str">
        <f t="shared" si="1"/>
        <v>12月</v>
      </c>
      <c r="D14" s="10" t="str">
        <f t="shared" si="2"/>
        <v>06日</v>
      </c>
      <c r="E14" s="4" t="s">
        <v>13</v>
      </c>
      <c r="F14" s="11" t="s">
        <v>16</v>
      </c>
      <c r="G14" s="4">
        <v>11</v>
      </c>
      <c r="H14" s="4" t="s">
        <v>17</v>
      </c>
      <c r="I14" s="4" t="s">
        <v>18</v>
      </c>
    </row>
    <row r="15" spans="1:9">
      <c r="A15" s="8">
        <v>45997</v>
      </c>
      <c r="B15" s="9">
        <f t="shared" si="0"/>
        <v>2025</v>
      </c>
      <c r="C15" s="10" t="str">
        <f t="shared" si="1"/>
        <v>12月</v>
      </c>
      <c r="D15" s="10" t="str">
        <f t="shared" si="2"/>
        <v>06日</v>
      </c>
      <c r="E15" s="4" t="s">
        <v>9</v>
      </c>
      <c r="F15" s="11" t="s">
        <v>10</v>
      </c>
      <c r="G15" s="4">
        <v>21.9</v>
      </c>
      <c r="H15" s="4" t="s">
        <v>11</v>
      </c>
      <c r="I15" s="12" t="s">
        <v>12</v>
      </c>
    </row>
    <row r="16" spans="1:9">
      <c r="A16" s="8">
        <v>45997</v>
      </c>
      <c r="B16" s="9">
        <f t="shared" si="0"/>
        <v>2025</v>
      </c>
      <c r="C16" s="10" t="str">
        <f t="shared" si="1"/>
        <v>12月</v>
      </c>
      <c r="D16" s="10" t="str">
        <f t="shared" si="2"/>
        <v>06日</v>
      </c>
      <c r="E16" s="4" t="s">
        <v>9</v>
      </c>
      <c r="F16" s="11" t="s">
        <v>10</v>
      </c>
      <c r="G16" s="4">
        <v>4.97</v>
      </c>
      <c r="H16" s="4" t="s">
        <v>11</v>
      </c>
      <c r="I16" s="12" t="s">
        <v>12</v>
      </c>
    </row>
  </sheetData>
  <autoFilter xmlns:etc="http://www.wps.cn/officeDocument/2017/etCustomData" ref="A1:I16" etc:filterBottomFollowUsedRange="0">
    <extLst/>
  </autoFilter>
  <sortState ref="A2:I21">
    <sortCondition ref="A3"/>
  </sortState>
  <dataValidations count="3">
    <dataValidation type="list" allowBlank="1" showInputMessage="1" showErrorMessage="1" sqref="D17:D53 E2:E5 E6:E53">
      <formula1>"收入,支出"</formula1>
    </dataValidation>
    <dataValidation type="list" allowBlank="1" showInputMessage="1" showErrorMessage="1" sqref="F2:F5 F6:F16">
      <formula1>"ooo收入ooo,工资,兼职,理财,礼金,其他收入,ooo支出ooo,餐饮,交通,住房,购物,娱乐,通讯,医疗,人情,其他支出"</formula1>
    </dataValidation>
    <dataValidation type="list" allowBlank="1" showInputMessage="1" showErrorMessage="1" sqref="H2:H5 H6:H45">
      <formula1>"微信,支付宝,银行卡,现金"</formula1>
    </dataValidation>
  </dataValidation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"/>
  <sheetViews>
    <sheetView workbookViewId="0">
      <selection activeCell="A8" sqref="A8"/>
    </sheetView>
  </sheetViews>
  <sheetFormatPr defaultColWidth="9.23076923076923" defaultRowHeight="16.8" outlineLevelRow="3" outlineLevelCol="1"/>
  <cols>
    <col min="1" max="1" width="17.2980769230769" customWidth="1"/>
    <col min="2" max="2" width="20.0288461538462" customWidth="1"/>
  </cols>
  <sheetData>
    <row r="1" ht="23.2" spans="1:2">
      <c r="A1" s="1" t="s">
        <v>22</v>
      </c>
      <c r="B1" s="2"/>
    </row>
    <row r="2" spans="1:2">
      <c r="A2" s="3" t="s">
        <v>23</v>
      </c>
      <c r="B2" s="4">
        <f>SUMIF(收入支出表!E2:E20,"收入",收入支出表!G2:G20)</f>
        <v>2330.57</v>
      </c>
    </row>
    <row r="3" spans="1:2">
      <c r="A3" s="3" t="s">
        <v>24</v>
      </c>
      <c r="B3" s="4">
        <f>SUMIF(收入支出表!E2:E20,"支出",收入支出表!G2:G20)</f>
        <v>50.5</v>
      </c>
    </row>
    <row r="4" spans="1:2">
      <c r="A4" s="3" t="s">
        <v>25</v>
      </c>
      <c r="B4" s="4">
        <f>B2-B3</f>
        <v>2280.07</v>
      </c>
    </row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收入支出表</vt:lpstr>
      <vt:lpstr>仪表盘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马宗平</cp:lastModifiedBy>
  <dcterms:created xsi:type="dcterms:W3CDTF">2025-12-07T09:45:00Z</dcterms:created>
  <dcterms:modified xsi:type="dcterms:W3CDTF">2025-12-06T16:15:07Z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2052-6.13.2.8918</vt:lpwstr>
  </property>
  <property fmtid="{D5CDD505-2E9C-101B-9397-08002B2CF9AE}" pid="3" name="ICV">
    <vt:lpwstr>476C930842DF2D8B582A3369FF54E00C_43</vt:lpwstr>
  </property>
</Properties>
</file>